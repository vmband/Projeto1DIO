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ocuments\Cursos\Excel\"/>
    </mc:Choice>
  </mc:AlternateContent>
  <xr:revisionPtr revIDLastSave="0" documentId="13_ncr:1_{063DCA17-F330-449D-90AA-6B2EA1375ED1}" xr6:coauthVersionLast="45" xr6:coauthVersionMax="45" xr10:uidLastSave="{00000000-0000-0000-0000-000000000000}"/>
  <bookViews>
    <workbookView xWindow="-120" yWindow="-120" windowWidth="29040" windowHeight="15720" tabRatio="584" xr2:uid="{0AB42289-282B-4FA3-96B3-925AE9FF019B}"/>
  </bookViews>
  <sheets>
    <sheet name="Planilha1" sheetId="1" r:id="rId1"/>
    <sheet name="Planilha2" sheetId="2" r:id="rId2"/>
  </sheets>
  <definedNames>
    <definedName name="ACUMULADO">Planilha1!$D$20</definedName>
    <definedName name="APORTE_MENSAL">Planilha1!$D$17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C40" i="1"/>
  <c r="C41" i="1"/>
  <c r="C36" i="1"/>
  <c r="H3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6" i="1"/>
  <c r="D41" i="1"/>
  <c r="D40" i="1"/>
  <c r="D39" i="1"/>
  <c r="D37" i="1"/>
  <c r="D42" i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<sst xmlns="http://schemas.openxmlformats.org/spreadsheetml/2006/main" count="70" uniqueCount="34">
  <si>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</si>
  <si>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</si>
  <si>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Patrimônio acumulado</t>
  </si>
  <si>
    <t>Dividendos Mensais</t>
  </si>
  <si>
    <t>INVESTIMENTO MENSAL</t>
  </si>
  <si>
    <t>Taxa de Rendimento Mensal?</t>
  </si>
  <si>
    <t>Quanto em 2 anos?</t>
  </si>
  <si>
    <t>Quanto em 5 anos?</t>
  </si>
  <si>
    <t>Quanto em 10 anos?</t>
  </si>
  <si>
    <t>Quanto em 20 anos?</t>
  </si>
  <si>
    <t>Quanto em 30 anos?</t>
  </si>
  <si>
    <t>CENÁRIOS FUTUROS</t>
  </si>
  <si>
    <t>DIVIDENDOS</t>
  </si>
  <si>
    <t>CONFIGURAÇÕES</t>
  </si>
  <si>
    <t>Rendimento Carteira</t>
  </si>
  <si>
    <t>Salário</t>
  </si>
  <si>
    <t>AGRESSIVO</t>
  </si>
  <si>
    <t>PERFIL</t>
  </si>
  <si>
    <t>Valor a ser investido por mês?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</si>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</sst>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4" borderId="0" xfId="0" applyFont="1" applyFill="1"/>
    <xf numFmtId="0" fontId="5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9" fontId="0" fillId="0" borderId="0" xfId="2" applyFont="1"/>
    <xf numFmtId="0" fontId="0" fillId="0" borderId="0" xfId="0" applyAlignment="1">
      <alignment horizontal="center" vertical="center"/>
    </xf>
    <xf numFmtId="0" fontId="8" fillId="5" borderId="2" xfId="0" applyFont="1" applyFill="1" applyBorder="1" applyAlignment="1"/>
    <xf numFmtId="0" fontId="8" fillId="5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166" fontId="3" fillId="0" borderId="15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10" fontId="3" fillId="0" borderId="7" xfId="2" applyNumberFormat="1" applyFont="1" applyBorder="1" applyAlignment="1">
      <alignment horizontal="center" vertical="center"/>
    </xf>
    <xf numFmtId="8" fontId="3" fillId="6" borderId="7" xfId="0" applyNumberFormat="1" applyFont="1" applyFill="1" applyBorder="1" applyAlignment="1">
      <alignment horizontal="center" vertical="center"/>
    </xf>
    <xf numFmtId="8" fontId="3" fillId="6" borderId="9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indent="3"/>
    </xf>
    <xf numFmtId="0" fontId="6" fillId="6" borderId="12" xfId="0" applyFont="1" applyFill="1" applyBorder="1" applyAlignment="1">
      <alignment horizontal="left" indent="3"/>
    </xf>
    <xf numFmtId="0" fontId="6" fillId="6" borderId="6" xfId="0" applyFont="1" applyFill="1" applyBorder="1" applyAlignment="1">
      <alignment horizontal="left" indent="3"/>
    </xf>
    <xf numFmtId="0" fontId="6" fillId="6" borderId="11" xfId="0" applyFont="1" applyFill="1" applyBorder="1" applyAlignment="1">
      <alignment horizontal="left" indent="3"/>
    </xf>
    <xf numFmtId="0" fontId="6" fillId="6" borderId="8" xfId="0" applyFont="1" applyFill="1" applyBorder="1" applyAlignment="1">
      <alignment horizontal="left" indent="3"/>
    </xf>
    <xf numFmtId="0" fontId="6" fillId="6" borderId="13" xfId="0" applyFont="1" applyFill="1" applyBorder="1" applyAlignment="1">
      <alignment horizontal="left" indent="3"/>
    </xf>
    <xf numFmtId="0" fontId="7" fillId="6" borderId="6" xfId="0" applyFont="1" applyFill="1" applyBorder="1" applyAlignment="1">
      <alignment horizontal="left" indent="3"/>
    </xf>
    <xf numFmtId="0" fontId="7" fillId="6" borderId="11" xfId="0" applyFont="1" applyFill="1" applyBorder="1" applyAlignment="1">
      <alignment horizontal="left" indent="3"/>
    </xf>
    <xf numFmtId="0" fontId="7" fillId="6" borderId="8" xfId="0" applyFont="1" applyFill="1" applyBorder="1" applyAlignment="1">
      <alignment horizontal="left" indent="3"/>
    </xf>
    <xf numFmtId="0" fontId="7" fillId="6" borderId="13" xfId="0" applyFont="1" applyFill="1" applyBorder="1" applyAlignment="1">
      <alignment horizontal="left" indent="3"/>
    </xf>
    <xf numFmtId="0" fontId="8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left" indent="3"/>
    </xf>
    <xf numFmtId="8" fontId="3" fillId="6" borderId="15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indent="3"/>
    </xf>
    <xf numFmtId="0" fontId="6" fillId="6" borderId="8" xfId="0" applyFont="1" applyFill="1" applyBorder="1" applyAlignment="1">
      <alignment horizontal="left" indent="3"/>
    </xf>
    <xf numFmtId="166" fontId="3" fillId="6" borderId="9" xfId="0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indent="3"/>
    </xf>
    <xf numFmtId="0" fontId="6" fillId="6" borderId="10" xfId="0" applyFont="1" applyFill="1" applyBorder="1" applyAlignment="1">
      <alignment horizontal="left" indent="3"/>
    </xf>
    <xf numFmtId="8" fontId="3" fillId="6" borderId="10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  <xf numFmtId="8" fontId="3" fillId="6" borderId="13" xfId="0" applyNumberFormat="1" applyFont="1" applyFill="1" applyBorder="1" applyAlignment="1">
      <alignment horizontal="center" vertical="center"/>
    </xf>
    <xf numFmtId="0" fontId="2" fillId="2" borderId="0" xfId="3"/>
    <xf numFmtId="0" fontId="0" fillId="6" borderId="0" xfId="0" applyFill="1"/>
    <xf numFmtId="166" fontId="0" fillId="6" borderId="0" xfId="0" applyNumberFormat="1" applyFill="1"/>
    <xf numFmtId="166" fontId="0" fillId="6" borderId="0" xfId="0" applyNumberFormat="1" applyFill="1" applyAlignment="1">
      <alignment horizontal="center"/>
    </xf>
    <xf numFmtId="0" fontId="3" fillId="6" borderId="0" xfId="0" applyFont="1" applyFill="1"/>
    <xf numFmtId="0" fontId="2" fillId="2" borderId="0" xfId="3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/>
    <xf numFmtId="166" fontId="4" fillId="7" borderId="0" xfId="0" applyNumberFormat="1" applyFont="1" applyFill="1"/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205887</xdr:colOff>
      <xdr:row>0</xdr:row>
      <xdr:rowOff>81328</xdr:rowOff>
    </xdr:from>
    <xdr:to>
      <xdr:col>4</xdr:col>
      <xdr:colOff>21981</xdr:colOff>
      <xdr:row>9</xdr:row>
      <xdr:rowOff>91247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279A75-C33F-461A-AB9D-BBF1AC4C5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05887" y="81328"/>
          <a:ext cx="8198094" cy="1724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9DEA-ED11-49B9-B9DD-CA9F38155A2F}">
  <dimension ref="A10:XFD42"/>
  <sheetViews>
    <sheetView showGridLines="0" tabSelected="1" zoomScale="130" zoomScaleNormal="130" workbookViewId="0">
      <selection activeCell="C32" sqref="C32"/>
    </sheetView>
  </sheetViews>
  <sheetFormatPr defaultColWidth="0" defaultRowHeight="15" x14ac:dyDescent="0.25"/>
  <cols>
    <col min="1" max="1" width="3.28515625" bestFit="1" customWidth="1"/>
    <col min="2" max="2" width="60.85546875" customWidth="1"/>
    <col min="3" max="3" width="45.7109375" customWidth="1"/>
    <col min="4" max="4" width="15.85546875" bestFit="1" customWidth="1"/>
    <col min="5" max="5" width="7.7109375" customWidth="1"/>
    <col min="6" max="6" width="5.42578125" customWidth="1"/>
    <col min="7" max="7" width="3.85546875" hidden="1" customWidth="1"/>
    <col min="8" max="8" width="7.7109375" hidden="1" customWidth="1"/>
    <col min="9" max="11" width="9.140625" hidden="1" customWidth="1"/>
    <col min="12" max="16383" width="9.140625" hidden="1"/>
    <col min="16384" max="16384" width="16.28515625" hidden="1" customWidth="1"/>
  </cols>
  <sheetData>
    <row r="10" spans="2:4" ht="15.75" thickBot="1" x14ac:dyDescent="0.3"/>
    <row r="11" spans="2:4" ht="24" thickBot="1" x14ac:dyDescent="0.4">
      <c r="B11" s="8" t="s">
        <v>13</v>
      </c>
      <c r="C11" s="27"/>
      <c r="D11" s="7"/>
    </row>
    <row r="12" spans="2:4" ht="16.5" thickBot="1" x14ac:dyDescent="0.3">
      <c r="B12" s="17" t="s">
        <v>15</v>
      </c>
      <c r="C12" s="18"/>
      <c r="D12" s="13">
        <v>2000</v>
      </c>
    </row>
    <row r="13" spans="2:4" ht="16.5" thickBot="1" x14ac:dyDescent="0.3">
      <c r="B13" s="19" t="s">
        <v>14</v>
      </c>
      <c r="C13" s="20"/>
      <c r="D13" s="14">
        <v>6.0000000000000001E-3</v>
      </c>
    </row>
    <row r="14" spans="2:4" ht="16.5" thickBot="1" x14ac:dyDescent="0.3">
      <c r="B14" s="21" t="s">
        <v>33</v>
      </c>
      <c r="C14" s="22"/>
      <c r="D14" s="35">
        <f>D12*30%</f>
        <v>600</v>
      </c>
    </row>
    <row r="15" spans="2:4" ht="15.75" thickBot="1" x14ac:dyDescent="0.3"/>
    <row r="16" spans="2:4" ht="26.25" x14ac:dyDescent="0.25">
      <c r="B16" s="4" t="s">
        <v>4</v>
      </c>
      <c r="C16" s="28"/>
      <c r="D16" s="2"/>
    </row>
    <row r="17" spans="1:4" ht="16.5" thickBot="1" x14ac:dyDescent="0.3">
      <c r="B17" s="36" t="s">
        <v>0</v>
      </c>
      <c r="C17" s="37"/>
      <c r="D17" s="10">
        <v>200</v>
      </c>
    </row>
    <row r="18" spans="1:4" ht="16.5" thickBot="1" x14ac:dyDescent="0.3">
      <c r="B18" s="19" t="s">
        <v>1</v>
      </c>
      <c r="C18" s="20"/>
      <c r="D18" s="11">
        <v>5</v>
      </c>
    </row>
    <row r="19" spans="1:4" ht="16.5" thickBot="1" x14ac:dyDescent="0.3">
      <c r="B19" s="19" t="s">
        <v>5</v>
      </c>
      <c r="C19" s="20"/>
      <c r="D19" s="12">
        <v>1.0789999999999999E-2</v>
      </c>
    </row>
    <row r="20" spans="1:4" ht="16.5" thickBot="1" x14ac:dyDescent="0.3">
      <c r="B20" s="23" t="s">
        <v>2</v>
      </c>
      <c r="C20" s="24"/>
      <c r="D20" s="15">
        <f>FV(TAXA_MENSAL,QTD_ANOS*12,APORTE_MENSAL*-1)</f>
        <v>16755.382799697527</v>
      </c>
    </row>
    <row r="21" spans="1:4" ht="16.5" thickBot="1" x14ac:dyDescent="0.3">
      <c r="B21" s="25" t="s">
        <v>3</v>
      </c>
      <c r="C21" s="26"/>
      <c r="D21" s="16">
        <f>ACUMULADO*RENDIMENTO_CARTEIRA</f>
        <v>100.53229679818516</v>
      </c>
    </row>
    <row r="22" spans="1:4" ht="15.75" thickBot="1" x14ac:dyDescent="0.3"/>
    <row r="23" spans="1:4" ht="26.25" x14ac:dyDescent="0.4">
      <c r="B23" s="29" t="s">
        <v>11</v>
      </c>
      <c r="C23" s="30"/>
      <c r="D23" s="9" t="s">
        <v>12</v>
      </c>
    </row>
    <row r="24" spans="1:4" ht="16.5" thickBot="1" x14ac:dyDescent="0.3">
      <c r="B24" s="31" t="s">
        <v>6</v>
      </c>
      <c r="C24" s="38">
        <f>FV(TAXA_MENSAL,$A28*12,APORTE_MENSAL*-1)</f>
        <v>5445.5254595290435</v>
      </c>
      <c r="D24" s="32">
        <f>C24*RENDIMENTO_CARTEIRA</f>
        <v>32.673152757174265</v>
      </c>
    </row>
    <row r="25" spans="1:4" ht="16.5" thickBot="1" x14ac:dyDescent="0.3">
      <c r="B25" s="33" t="s">
        <v>7</v>
      </c>
      <c r="C25" s="39">
        <f>FV(TAXA_MENSAL,$A29*12,APORTE_MENSAL*-1)</f>
        <v>16755.382799697527</v>
      </c>
      <c r="D25" s="15">
        <f>C25*RENDIMENTO_CARTEIRA</f>
        <v>100.53229679818516</v>
      </c>
    </row>
    <row r="26" spans="1:4" ht="16.5" thickBot="1" x14ac:dyDescent="0.3">
      <c r="B26" s="33" t="s">
        <v>8</v>
      </c>
      <c r="C26" s="39">
        <f>FV(TAXA_MENSAL,$A30*12,APORTE_MENSAL*-1)</f>
        <v>48656.842506034438</v>
      </c>
      <c r="D26" s="15">
        <f>C26*RENDIMENTO_CARTEIRA</f>
        <v>291.94105503620665</v>
      </c>
    </row>
    <row r="27" spans="1:4" ht="16.5" thickBot="1" x14ac:dyDescent="0.3">
      <c r="B27" s="33" t="s">
        <v>9</v>
      </c>
      <c r="C27" s="39">
        <f>FV(TAXA_MENSAL,$A31*12,APORTE_MENSAL*-1)</f>
        <v>225039.68001941612</v>
      </c>
      <c r="D27" s="15">
        <f>C27*RENDIMENTO_CARTEIRA</f>
        <v>1350.2380801164968</v>
      </c>
    </row>
    <row r="28" spans="1:4" ht="16.5" thickBot="1" x14ac:dyDescent="0.3">
      <c r="A28" s="1">
        <v>2</v>
      </c>
      <c r="B28" s="34" t="s">
        <v>10</v>
      </c>
      <c r="C28" s="40">
        <f>FV(TAXA_MENSAL,$A32*12,APORTE_MENSAL*-1)</f>
        <v>864433.93100094295</v>
      </c>
      <c r="D28" s="16">
        <f>C28*RENDIMENTO_CARTEIRA</f>
        <v>5186.6035860056581</v>
      </c>
    </row>
    <row r="29" spans="1:4" x14ac:dyDescent="0.25">
      <c r="A29" s="1">
        <v>5</v>
      </c>
    </row>
    <row r="30" spans="1:4" x14ac:dyDescent="0.25">
      <c r="A30" s="1">
        <v>10</v>
      </c>
    </row>
    <row r="31" spans="1:4" x14ac:dyDescent="0.25">
      <c r="A31" s="1">
        <v>20</v>
      </c>
    </row>
    <row r="32" spans="1:4" x14ac:dyDescent="0.25">
      <c r="A32" s="1">
        <v>30</v>
      </c>
      <c r="B32" s="41" t="s">
        <v>17</v>
      </c>
      <c r="C32" s="46" t="s">
        <v>16</v>
      </c>
      <c r="D32" s="41"/>
    </row>
    <row r="33" spans="2:4" x14ac:dyDescent="0.25">
      <c r="B33" s="45" t="s">
        <v>18</v>
      </c>
      <c r="C33" s="44">
        <f>APORTE_MENSAL</f>
        <v>200</v>
      </c>
      <c r="D33" s="42"/>
    </row>
    <row r="35" spans="2:4" x14ac:dyDescent="0.25">
      <c r="B35" s="47" t="s">
        <v>19</v>
      </c>
      <c r="C35" s="47" t="s">
        <v>20</v>
      </c>
      <c r="D35" s="47" t="s">
        <v>21</v>
      </c>
    </row>
    <row r="36" spans="2:4" x14ac:dyDescent="0.25">
      <c r="B36" s="3" t="s">
        <v>22</v>
      </c>
      <c r="C36" s="50">
        <f>VLOOKUP($C$32&amp;"-"&amp;B36,Planilha2!$A:$D,4,FALSE)</f>
        <v>0.5</v>
      </c>
      <c r="D36" s="43">
        <f>C36*$C$33</f>
        <v>100</v>
      </c>
    </row>
    <row r="37" spans="2:4" x14ac:dyDescent="0.25">
      <c r="B37" s="3" t="s">
        <v>23</v>
      </c>
      <c r="C37" s="50">
        <f>VLOOKUP($C$32&amp;"-"&amp;B37,Planilha2!$A:$D,4,FALSE)</f>
        <v>0.1</v>
      </c>
      <c r="D37" s="43">
        <f t="shared" ref="D37:D41" si="0">C37*$C$33</f>
        <v>20</v>
      </c>
    </row>
    <row r="38" spans="2:4" x14ac:dyDescent="0.25">
      <c r="B38" s="3" t="s">
        <v>24</v>
      </c>
      <c r="C38" s="50">
        <f>VLOOKUP($C$32&amp;"-"&amp;B38,Planilha2!$A:$D,4,FALSE)</f>
        <v>0.05</v>
      </c>
      <c r="D38" s="43">
        <f t="shared" si="0"/>
        <v>10</v>
      </c>
    </row>
    <row r="39" spans="2:4" x14ac:dyDescent="0.25">
      <c r="B39" s="3" t="s">
        <v>25</v>
      </c>
      <c r="C39" s="50">
        <f>VLOOKUP($C$32&amp;"-"&amp;B39,Planilha2!$A:$D,4,FALSE)</f>
        <v>0.05</v>
      </c>
      <c r="D39" s="43">
        <f t="shared" si="0"/>
        <v>10</v>
      </c>
    </row>
    <row r="40" spans="2:4" x14ac:dyDescent="0.25">
      <c r="B40" s="3" t="s">
        <v>26</v>
      </c>
      <c r="C40" s="50">
        <f>VLOOKUP($C$32&amp;"-"&amp;B40,Planilha2!$A:$D,4,FALSE)</f>
        <v>0.2</v>
      </c>
      <c r="D40" s="43">
        <f t="shared" si="0"/>
        <v>40</v>
      </c>
    </row>
    <row r="41" spans="2:4" x14ac:dyDescent="0.25">
      <c r="B41" s="3" t="s">
        <v>27</v>
      </c>
      <c r="C41" s="50">
        <f>VLOOKUP($C$32&amp;"-"&amp;B41,Planilha2!$A:$D,4,FALSE)</f>
        <v>0.1</v>
      </c>
      <c r="D41" s="43">
        <f t="shared" si="0"/>
        <v>20</v>
      </c>
    </row>
    <row r="42" spans="2:4" x14ac:dyDescent="0.25">
      <c r="B42" s="48"/>
      <c r="C42" s="48"/>
      <c r="D42" s="49">
        <f>SUM(D36:D41)</f>
        <v>200</v>
      </c>
    </row>
  </sheetData>
  <mergeCells count="11">
    <mergeCell ref="B23:C23"/>
    <mergeCell ref="B20:C20"/>
    <mergeCell ref="B21:C21"/>
    <mergeCell ref="B11:C11"/>
    <mergeCell ref="B12:C12"/>
    <mergeCell ref="B13:C13"/>
    <mergeCell ref="B14:C14"/>
    <mergeCell ref="B19:C19"/>
    <mergeCell ref="B16:C16"/>
    <mergeCell ref="B17:C17"/>
    <mergeCell ref="B18:C18"/>
  </mergeCells>
  <dataValidations count="1">
    <dataValidation type="list" allowBlank="1" showInputMessage="1" showErrorMessage="1" sqref="C32" xr:uid="{57C8C1F2-FB8C-4688-BD91-96C948367B98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DB7B-3978-4090-B309-D2D71EA1F5C1}">
  <dimension ref="A2:H20"/>
  <sheetViews>
    <sheetView workbookViewId="0">
      <selection activeCell="J4" sqref="J4"/>
    </sheetView>
  </sheetViews>
  <sheetFormatPr defaultRowHeight="15" x14ac:dyDescent="0.25"/>
  <cols>
    <col min="1" max="1" width="31.7109375" bestFit="1" customWidth="1"/>
    <col min="2" max="2" width="14.7109375" bestFit="1" customWidth="1"/>
    <col min="3" max="3" width="16.85546875" bestFit="1" customWidth="1"/>
    <col min="7" max="7" width="17.5703125" bestFit="1" customWidth="1"/>
  </cols>
  <sheetData>
    <row r="2" spans="1:8" x14ac:dyDescent="0.25">
      <c r="A2" t="s">
        <v>30</v>
      </c>
      <c r="B2" s="6" t="s">
        <v>17</v>
      </c>
      <c r="C2" s="6" t="s">
        <v>19</v>
      </c>
      <c r="D2" s="6" t="s">
        <v>29</v>
      </c>
    </row>
    <row r="3" spans="1:8" x14ac:dyDescent="0.25">
      <c r="A3" t="str">
        <f>B3&amp;"-"&amp;C3</f>
        <v>CONSERVADOR-Papel</v>
      </c>
      <c r="B3" s="6" t="s">
        <v>28</v>
      </c>
      <c r="C3" s="6" t="s">
        <v>22</v>
      </c>
      <c r="D3" s="50">
        <v>0.3</v>
      </c>
      <c r="G3" t="s">
        <v>32</v>
      </c>
      <c r="H3" s="5">
        <f>VLOOKUP(G3,$A:$D,4,FALSE)</f>
        <v>0.4</v>
      </c>
    </row>
    <row r="4" spans="1:8" x14ac:dyDescent="0.25">
      <c r="A4" t="str">
        <f t="shared" ref="A4:A20" si="0">B4&amp;"-"&amp;C4</f>
        <v>CONSERVADOR-Tijolo</v>
      </c>
      <c r="B4" s="6" t="s">
        <v>28</v>
      </c>
      <c r="C4" s="6" t="s">
        <v>23</v>
      </c>
      <c r="D4" s="50">
        <v>0.5</v>
      </c>
    </row>
    <row r="5" spans="1:8" x14ac:dyDescent="0.25">
      <c r="A5" t="str">
        <f t="shared" si="0"/>
        <v>CONSERVADOR-Híbridos</v>
      </c>
      <c r="B5" s="6" t="s">
        <v>28</v>
      </c>
      <c r="C5" s="6" t="s">
        <v>24</v>
      </c>
      <c r="D5" s="50">
        <v>0.1</v>
      </c>
    </row>
    <row r="6" spans="1:8" x14ac:dyDescent="0.25">
      <c r="A6" t="str">
        <f t="shared" si="0"/>
        <v>CONSERVADOR-FOFs</v>
      </c>
      <c r="B6" s="6" t="s">
        <v>28</v>
      </c>
      <c r="C6" s="6" t="s">
        <v>25</v>
      </c>
      <c r="D6" s="50">
        <v>0.1</v>
      </c>
    </row>
    <row r="7" spans="1:8" x14ac:dyDescent="0.25">
      <c r="A7" t="str">
        <f t="shared" si="0"/>
        <v>CONSERVADOR-Desenvolvimento</v>
      </c>
      <c r="B7" s="6" t="s">
        <v>28</v>
      </c>
      <c r="C7" s="6" t="s">
        <v>26</v>
      </c>
      <c r="D7" s="50">
        <v>0</v>
      </c>
    </row>
    <row r="8" spans="1:8" s="52" customFormat="1" x14ac:dyDescent="0.25">
      <c r="A8" s="52" t="str">
        <f t="shared" si="0"/>
        <v>CONSERVADOR-Hotelarias</v>
      </c>
      <c r="B8" s="53" t="s">
        <v>28</v>
      </c>
      <c r="C8" s="53" t="s">
        <v>27</v>
      </c>
      <c r="D8" s="54">
        <v>0</v>
      </c>
    </row>
    <row r="9" spans="1:8" x14ac:dyDescent="0.25">
      <c r="A9" t="str">
        <f t="shared" si="0"/>
        <v>MODERADO-Papel</v>
      </c>
      <c r="B9" s="6" t="s">
        <v>31</v>
      </c>
      <c r="C9" s="6" t="s">
        <v>22</v>
      </c>
      <c r="D9" s="51">
        <v>0.32</v>
      </c>
    </row>
    <row r="10" spans="1:8" x14ac:dyDescent="0.25">
      <c r="A10" t="str">
        <f t="shared" si="0"/>
        <v>MODERADO-Tijolo</v>
      </c>
      <c r="B10" s="6" t="s">
        <v>31</v>
      </c>
      <c r="C10" s="6" t="s">
        <v>23</v>
      </c>
      <c r="D10" s="51">
        <v>0.4</v>
      </c>
    </row>
    <row r="11" spans="1:8" x14ac:dyDescent="0.25">
      <c r="A11" t="str">
        <f t="shared" si="0"/>
        <v>MODERADO-Híbridos</v>
      </c>
      <c r="B11" s="6" t="s">
        <v>31</v>
      </c>
      <c r="C11" s="6" t="s">
        <v>24</v>
      </c>
      <c r="D11" s="51">
        <v>0.08</v>
      </c>
    </row>
    <row r="12" spans="1:8" x14ac:dyDescent="0.25">
      <c r="A12" t="str">
        <f t="shared" si="0"/>
        <v>MODERADO-FOFs</v>
      </c>
      <c r="B12" s="6" t="s">
        <v>31</v>
      </c>
      <c r="C12" s="6" t="s">
        <v>25</v>
      </c>
      <c r="D12" s="51">
        <v>0.1</v>
      </c>
    </row>
    <row r="13" spans="1:8" x14ac:dyDescent="0.25">
      <c r="A13" t="str">
        <f t="shared" si="0"/>
        <v>MODERADO-Desenvolvimento</v>
      </c>
      <c r="B13" s="6" t="s">
        <v>31</v>
      </c>
      <c r="C13" s="6" t="s">
        <v>26</v>
      </c>
      <c r="D13" s="51">
        <v>0.1</v>
      </c>
    </row>
    <row r="14" spans="1:8" s="52" customFormat="1" x14ac:dyDescent="0.25">
      <c r="A14" s="52" t="str">
        <f t="shared" si="0"/>
        <v>MODERADO-Hotelarias</v>
      </c>
      <c r="B14" s="53" t="s">
        <v>31</v>
      </c>
      <c r="C14" s="53" t="s">
        <v>27</v>
      </c>
      <c r="D14" s="55">
        <v>0</v>
      </c>
    </row>
    <row r="15" spans="1:8" x14ac:dyDescent="0.25">
      <c r="A15" t="str">
        <f t="shared" si="0"/>
        <v>AGRESSIVO-Papel</v>
      </c>
      <c r="B15" s="6" t="s">
        <v>16</v>
      </c>
      <c r="C15" s="6" t="s">
        <v>22</v>
      </c>
      <c r="D15" s="51">
        <v>0.5</v>
      </c>
    </row>
    <row r="16" spans="1:8" x14ac:dyDescent="0.25">
      <c r="A16" t="str">
        <f t="shared" si="0"/>
        <v>AGRESSIVO-Tijolo</v>
      </c>
      <c r="B16" s="6" t="s">
        <v>16</v>
      </c>
      <c r="C16" s="6" t="s">
        <v>23</v>
      </c>
      <c r="D16" s="51">
        <v>0.1</v>
      </c>
    </row>
    <row r="17" spans="1:4" x14ac:dyDescent="0.25">
      <c r="A17" t="str">
        <f t="shared" si="0"/>
        <v>AGRESSIVO-Híbridos</v>
      </c>
      <c r="B17" s="6" t="s">
        <v>16</v>
      </c>
      <c r="C17" s="6" t="s">
        <v>24</v>
      </c>
      <c r="D17" s="51">
        <v>0.05</v>
      </c>
    </row>
    <row r="18" spans="1:4" x14ac:dyDescent="0.25">
      <c r="A18" t="str">
        <f t="shared" si="0"/>
        <v>AGRESSIVO-FOFs</v>
      </c>
      <c r="B18" s="6" t="s">
        <v>16</v>
      </c>
      <c r="C18" s="6" t="s">
        <v>25</v>
      </c>
      <c r="D18" s="51">
        <v>0.05</v>
      </c>
    </row>
    <row r="19" spans="1:4" x14ac:dyDescent="0.25">
      <c r="A19" t="str">
        <f t="shared" si="0"/>
        <v>AGRESSIVO-Desenvolvimento</v>
      </c>
      <c r="B19" s="6" t="s">
        <v>16</v>
      </c>
      <c r="C19" s="6" t="s">
        <v>26</v>
      </c>
      <c r="D19" s="51">
        <v>0.2</v>
      </c>
    </row>
    <row r="20" spans="1:4" x14ac:dyDescent="0.25">
      <c r="A20" t="str">
        <f t="shared" si="0"/>
        <v>AGRESSIVO-Hotelarias</v>
      </c>
      <c r="B20" s="6" t="s">
        <v>16</v>
      </c>
      <c r="C20" s="6" t="s">
        <v>27</v>
      </c>
      <c r="D20" s="5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ACUMULADO</vt:lpstr>
      <vt:lpstr>APORTE_MENSAL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Bandeira</dc:creator>
  <cp:lastModifiedBy>Victor Bandeira</cp:lastModifiedBy>
  <dcterms:created xsi:type="dcterms:W3CDTF">2026-02-12T20:41:17Z</dcterms:created>
  <dcterms:modified xsi:type="dcterms:W3CDTF">2026-02-12T22:14:40Z</dcterms:modified>
</cp:coreProperties>
</file>